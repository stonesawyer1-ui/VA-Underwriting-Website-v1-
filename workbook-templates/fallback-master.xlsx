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Start Here" sheetId="1" state="visible" r:id="rId1"/>
    <sheet name="Property Snapshot" sheetId="2" state="visible" r:id="rId2"/>
    <sheet name="VA Loan Numbers" sheetId="3" state="visible" r:id="rId3"/>
    <sheet name="Rental Income for Next Loan" sheetId="4" state="visible" r:id="rId4"/>
    <sheet name="VA Rules in Plain English" sheetId="5" state="visible" r:id="rId5"/>
    <sheet name="What You Need to Fill In" sheetId="6" state="visible" r:id="rId6"/>
    <sheet name="Monthly Deal Number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\$#,##0"/>
  </numFmts>
  <fonts count="15">
    <font>
      <name val="Calibri"/>
      <family val="2"/>
      <color theme="1"/>
      <sz val="11"/>
      <scheme val="minor"/>
    </font>
    <font>
      <name val="Calibri"/>
      <charset val="1"/>
      <b val="1"/>
      <color rgb="FF1F3864"/>
      <sz val="20"/>
    </font>
    <font>
      <name val="Calibri"/>
      <charset val="1"/>
      <i val="1"/>
      <color rgb="FF595959"/>
      <sz val="12"/>
    </font>
    <font>
      <name val="Calibri"/>
      <charset val="1"/>
      <b val="1"/>
      <color rgb="FFFFFFFF"/>
      <sz val="13"/>
    </font>
    <font>
      <name val="Calibri"/>
      <charset val="1"/>
      <color rgb="FF000000"/>
      <sz val="12"/>
    </font>
    <font>
      <name val="Calibri"/>
      <charset val="1"/>
      <b val="1"/>
      <color rgb="FF000000"/>
      <sz val="12"/>
    </font>
    <font>
      <name val="Calibri"/>
      <charset val="1"/>
      <color rgb="FF595959"/>
      <sz val="11"/>
    </font>
    <font>
      <name val="Calibri"/>
      <charset val="1"/>
      <family val="2"/>
      <color theme="1"/>
      <sz val="11"/>
    </font>
    <font>
      <name val="Calibri"/>
      <charset val="1"/>
      <b val="1"/>
      <color rgb="FF0B5394"/>
      <sz val="12"/>
    </font>
    <font>
      <name val="Calibri"/>
      <charset val="1"/>
      <b val="1"/>
      <color rgb="FF1F3864"/>
      <sz val="11"/>
    </font>
    <font>
      <b val="1"/>
      <color rgb="FF1F3864"/>
      <sz val="14"/>
    </font>
    <font>
      <color rgb="FF595959"/>
    </font>
    <font>
      <b val="1"/>
      <color rgb="FFFFFFFF"/>
    </font>
    <font>
      <color rgb="FF000000"/>
    </font>
    <font>
      <color rgb="FF0B5394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bottom"/>
    </xf>
    <xf numFmtId="0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9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164" fontId="8" fillId="3" borderId="1" applyAlignment="1" pivotButton="0" quotePrefix="0" xfId="0">
      <alignment vertical="bottom"/>
    </xf>
    <xf numFmtId="164" fontId="5" fillId="0" borderId="1" applyAlignment="1" pivotButton="0" quotePrefix="0" xfId="0">
      <alignment vertical="bottom"/>
    </xf>
    <xf numFmtId="10" fontId="5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bottom"/>
    </xf>
    <xf numFmtId="0" fontId="1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6" borderId="0" pivotButton="0" quotePrefix="0" xfId="0"/>
    <xf numFmtId="10" fontId="14" fillId="6" borderId="0" pivotButton="0" quotePrefix="0" xfId="0"/>
    <xf numFmtId="0" fontId="14" fillId="6" borderId="0" pivotButton="0" quotePrefix="0" xfId="0"/>
    <xf numFmtId="165" fontId="14" fillId="6" borderId="0" pivotButton="0" quotePrefix="0" xfId="0"/>
    <xf numFmtId="10" fontId="13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0" customWidth="1" min="2" max="2"/>
  </cols>
  <sheetData>
    <row r="1" ht="33.75" customHeight="1">
      <c r="A1" s="1" t="inlineStr">
        <is>
          <t>VA Underwriting Workbook</t>
        </is>
      </c>
    </row>
    <row r="2" ht="21.75" customHeight="1">
      <c r="A2" s="2" t="inlineStr">
        <is>
          <t>A plain-language guide for underwriting a property with VA financing</t>
        </is>
      </c>
    </row>
    <row r="4" ht="24" customHeight="1">
      <c r="A4" s="3" t="inlineStr">
        <is>
          <t>What's in this workbook</t>
        </is>
      </c>
    </row>
    <row r="5" ht="19.5" customHeight="1">
      <c r="A5" s="4" t="inlineStr">
        <is>
          <t>Property Snapshot</t>
        </is>
      </c>
      <c r="B5" s="5" t="n"/>
      <c r="C5" s="6" t="inlineStr">
        <is>
          <t>The basics on a property you're looking at - address, price, rent, ARV.</t>
        </is>
      </c>
      <c r="D5" s="32" t="n"/>
    </row>
    <row r="6" ht="19.5" customHeight="1">
      <c r="A6" s="4" t="inlineStr">
        <is>
          <t>VA Loan Numbers</t>
        </is>
      </c>
      <c r="B6" s="5" t="n"/>
      <c r="C6" s="6" t="inlineStr">
        <is>
          <t>Entitlement math across your prior VA loans, and whether the next purchase needs money down.</t>
        </is>
      </c>
      <c r="D6" s="32" t="n"/>
    </row>
    <row r="7" ht="19.5" customHeight="1">
      <c r="A7" s="4" t="inlineStr">
        <is>
          <t>Rental Income for Next Loan</t>
        </is>
      </c>
      <c r="B7" s="5" t="n"/>
      <c r="C7" s="6" t="inlineStr">
        <is>
          <t>How a lender will treat your old home's rent when you apply for a new VA loan.</t>
        </is>
      </c>
      <c r="D7" s="32" t="n"/>
    </row>
    <row r="8" ht="19.5" customHeight="1">
      <c r="A8" s="4" t="inlineStr">
        <is>
          <t>Monthly Deal Numbers</t>
        </is>
      </c>
      <c r="B8" s="5" t="n"/>
      <c r="C8" s="6" t="inlineStr">
        <is>
          <t>Will this property make money? Rent, expenses, both SC tax scenarios, and cash flow.</t>
        </is>
      </c>
      <c r="D8" s="32" t="n"/>
    </row>
    <row r="9" ht="19.5" customHeight="1">
      <c r="A9" s="4" t="inlineStr">
        <is>
          <t>VA Rules in Plain English</t>
        </is>
      </c>
      <c r="B9" s="5" t="n"/>
      <c r="C9" s="6" t="inlineStr">
        <is>
          <t>A short reference for the VA rules that matter most here.</t>
        </is>
      </c>
      <c r="D9" s="32" t="n"/>
    </row>
    <row r="10" ht="19.5" customHeight="1">
      <c r="A10" s="4" t="inlineStr">
        <is>
          <t>What You Need to Fill In</t>
        </is>
      </c>
      <c r="B10" s="5" t="n"/>
      <c r="C10" s="6" t="inlineStr">
        <is>
          <t>One list of every yellow cell across the workbook, with where to get each number.</t>
        </is>
      </c>
      <c r="D10" s="32" t="n"/>
    </row>
    <row r="12" ht="24" customHeight="1">
      <c r="A12" s="3" t="inlineStr">
        <is>
          <t>How to use it</t>
        </is>
      </c>
    </row>
    <row r="13" ht="19.5" customHeight="1">
      <c r="A13" s="4" t="inlineStr">
        <is>
          <t>Yellow cells</t>
        </is>
      </c>
      <c r="B13" s="5" t="inlineStr">
        <is>
          <t>These are the ones you fill in or change - kept to the minimum that actually varies by property.</t>
        </is>
      </c>
      <c r="C13" s="7" t="n"/>
      <c r="D13" s="7" t="n"/>
    </row>
    <row r="14" ht="19.5" customHeight="1">
      <c r="A14" s="4" t="inlineStr">
        <is>
          <t>Grey italic cells</t>
        </is>
      </c>
      <c r="B14" s="5" t="inlineStr">
        <is>
          <t>Fixed constants (like SC's assessment ratios) - shown for transparency but not meant to be edited.</t>
        </is>
      </c>
      <c r="C14" s="7" t="n"/>
      <c r="D14" s="7" t="n"/>
    </row>
    <row r="15" ht="19.5" customHeight="1">
      <c r="A15" s="4" t="inlineStr">
        <is>
          <t>Everything else</t>
        </is>
      </c>
      <c r="B15" s="5" t="inlineStr">
        <is>
          <t>Calculates automatically - no need to touch it.</t>
        </is>
      </c>
      <c r="C15" s="7" t="n"/>
      <c r="D15" s="7" t="n"/>
    </row>
    <row r="16" ht="19.5" customHeight="1">
      <c r="A16" s="4" t="inlineStr">
        <is>
          <t>Tip</t>
        </is>
      </c>
      <c r="B16" s="5" t="inlineStr">
        <is>
          <t>Give Claude an address and it'll research it and fill this in for you.</t>
        </is>
      </c>
      <c r="C16" s="7" t="n"/>
      <c r="D16" s="7" t="n"/>
    </row>
  </sheetData>
  <mergeCells count="10">
    <mergeCell ref="A4:B4"/>
    <mergeCell ref="A2:B2"/>
    <mergeCell ref="C6:D6"/>
    <mergeCell ref="C10:D10"/>
    <mergeCell ref="C7:D7"/>
    <mergeCell ref="C5:D5"/>
    <mergeCell ref="A1:B1"/>
    <mergeCell ref="C9:D9"/>
    <mergeCell ref="C8:D8"/>
    <mergeCell ref="A12:B12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45" customWidth="1" min="3" max="3"/>
    <col width="5" customWidth="1" min="4" max="4"/>
  </cols>
  <sheetData>
    <row r="1" ht="33.75" customHeight="1">
      <c r="A1" s="1" t="inlineStr">
        <is>
          <t>Property Snapshot</t>
        </is>
      </c>
    </row>
    <row r="2" ht="21.75" customHeight="1">
      <c r="A2" s="2" t="inlineStr">
        <is>
          <t>Fill this in for whatever property you're looking at - other tabs pull from here</t>
        </is>
      </c>
    </row>
    <row r="4" ht="24" customHeight="1">
      <c r="A4" s="3" t="inlineStr">
        <is>
          <t>The Basics</t>
        </is>
      </c>
    </row>
    <row r="5" ht="19.5" customHeight="1">
      <c r="A5" s="4" t="inlineStr">
        <is>
          <t>Address</t>
        </is>
      </c>
      <c r="B5" s="8" t="inlineStr">
        <is>
          <t>406 Rustic Cir</t>
        </is>
      </c>
      <c r="C5" s="7" t="n"/>
      <c r="D5" s="7" t="n"/>
    </row>
    <row r="6" ht="19.5" customHeight="1">
      <c r="A6" s="4" t="inlineStr">
        <is>
          <t>City / State / Zip</t>
        </is>
      </c>
      <c r="B6" s="8" t="inlineStr">
        <is>
          <t>Richardson, TX 75080</t>
        </is>
      </c>
      <c r="C6" s="7" t="n"/>
      <c r="D6" s="7" t="n"/>
    </row>
    <row r="7" ht="19.5" customHeight="1">
      <c r="A7" s="4" t="inlineStr">
        <is>
          <t>County</t>
        </is>
      </c>
      <c r="B7" s="8" t="inlineStr">
        <is>
          <t>Dallas</t>
        </is>
      </c>
      <c r="C7" s="6" t="inlineStr">
        <is>
          <t>Confirm the tax district / school zone for this specific parcel with the county Auditor's office</t>
        </is>
      </c>
      <c r="D7" s="32" t="n"/>
    </row>
    <row r="8" ht="19.5" customHeight="1">
      <c r="A8" s="4" t="inlineStr">
        <is>
          <t>Property Type</t>
        </is>
      </c>
      <c r="B8" s="8" t="inlineStr">
        <is>
          <t>Single Family</t>
        </is>
      </c>
      <c r="C8" s="7" t="n"/>
      <c r="D8" s="7" t="n"/>
    </row>
    <row r="9" ht="19.5" customHeight="1">
      <c r="A9" s="4" t="inlineStr">
        <is>
          <t>Beds / Baths</t>
        </is>
      </c>
      <c r="B9" s="8" t="inlineStr">
        <is>
          <t>2 / 1.5-2 (sources vary)</t>
        </is>
      </c>
      <c r="C9" s="7" t="n"/>
      <c r="D9" s="7" t="n"/>
    </row>
    <row r="10" ht="19.5" customHeight="1">
      <c r="A10" s="4" t="inlineStr">
        <is>
          <t>Square Feet</t>
        </is>
      </c>
      <c r="B10" s="8" t="n">
        <v>1311</v>
      </c>
      <c r="C10" s="7" t="n"/>
      <c r="D10" s="7" t="n"/>
    </row>
    <row r="11" ht="19.5" customHeight="1">
      <c r="A11" s="4" t="inlineStr">
        <is>
          <t>Year Built</t>
        </is>
      </c>
      <c r="B11" s="8" t="n">
        <v>1954</v>
      </c>
      <c r="C11" s="7" t="n"/>
      <c r="D11" s="7" t="n"/>
    </row>
    <row r="13" ht="24" customHeight="1">
      <c r="A13" s="3" t="inlineStr">
        <is>
          <t>The Money</t>
        </is>
      </c>
    </row>
    <row r="14" ht="19.5" customHeight="1">
      <c r="A14" s="4" t="inlineStr">
        <is>
          <t>Price</t>
        </is>
      </c>
      <c r="B14" s="9" t="n">
        <v>330000</v>
      </c>
      <c r="C14" s="6" t="inlineStr">
        <is>
          <t>Matches recent sale price on record</t>
        </is>
      </c>
      <c r="D14" s="32" t="n"/>
    </row>
    <row r="15" ht="19.5" customHeight="1">
      <c r="A15" s="4" t="inlineStr">
        <is>
          <t>Expected Monthly Rent</t>
        </is>
      </c>
      <c r="B15" s="9" t="n">
        <v>1900</v>
      </c>
      <c r="C15" s="6" t="inlineStr">
        <is>
          <t>Base case from real rental comps for this property - see the Monthly Deal Numbers tab for the rent stress test</t>
        </is>
      </c>
      <c r="D15" s="32" t="n"/>
    </row>
    <row r="16" ht="19.5" customHeight="1">
      <c r="A16" s="4" t="inlineStr">
        <is>
          <t>Yearly Insurance</t>
        </is>
      </c>
      <c r="B16" s="9" t="n">
        <v>1800</v>
      </c>
      <c r="C16" s="6" t="inlineStr">
        <is>
          <t>No quote yet - placeholder estimate</t>
        </is>
      </c>
      <c r="D16" s="32" t="n"/>
    </row>
    <row r="17" ht="19.5" customHeight="1">
      <c r="A17" s="4" t="inlineStr">
        <is>
          <t>Monthly HOA (if any)</t>
        </is>
      </c>
      <c r="B17" s="9" t="n">
        <v>0</v>
      </c>
      <c r="C17" s="7" t="n"/>
      <c r="D17" s="7" t="n"/>
    </row>
    <row r="18" ht="19.5" customHeight="1">
      <c r="A18" s="4" t="inlineStr">
        <is>
          <t>Repairs Needed Before Renting</t>
        </is>
      </c>
      <c r="B18" s="9" t="n">
        <v>0</v>
      </c>
      <c r="C18" s="6" t="inlineStr">
        <is>
          <t>No major capital needs reported</t>
        </is>
      </c>
      <c r="D18" s="32" t="n"/>
    </row>
    <row r="19" ht="19.5" customHeight="1">
      <c r="A19" s="4" t="inlineStr">
        <is>
          <t>Property tax (both scenarios)</t>
        </is>
      </c>
      <c r="B19" s="10" t="inlineStr">
        <is>
          <t>See the Monthly Deal Numbers tab - Texas uses a homestead exemption, not an assessment ratio</t>
        </is>
      </c>
      <c r="C19" s="7" t="n"/>
      <c r="D19" s="7" t="n"/>
    </row>
    <row r="21" ht="24" customHeight="1">
      <c r="A21" s="3" t="inlineStr">
        <is>
          <t>After Repair Value (ARV)</t>
        </is>
      </c>
    </row>
    <row r="22" ht="19.5" customHeight="1">
      <c r="A22" s="4" t="inlineStr">
        <is>
          <t>Value the repairs are expected to add</t>
        </is>
      </c>
      <c r="B22" s="9" t="n">
        <v>0</v>
      </c>
      <c r="C22" s="6" t="inlineStr">
        <is>
          <t>Not a rehab deal - no repairs planned</t>
        </is>
      </c>
      <c r="D22" s="32" t="n"/>
    </row>
    <row r="23" ht="19.5" customHeight="1">
      <c r="A23" s="4" t="inlineStr">
        <is>
          <t>After Repair Value (ARV)</t>
        </is>
      </c>
      <c r="B23" s="11">
        <f>B14+B22</f>
        <v/>
      </c>
      <c r="C23" s="6" t="inlineStr">
        <is>
          <t>Price + value added by repairs</t>
        </is>
      </c>
      <c r="D23" s="32" t="n"/>
    </row>
    <row r="24" ht="19.5" customHeight="1">
      <c r="A24" s="4" t="inlineStr">
        <is>
          <t>All-in cost (price + repairs)</t>
        </is>
      </c>
      <c r="B24" s="11">
        <f>B14+B18</f>
        <v/>
      </c>
      <c r="C24" s="7" t="n"/>
      <c r="D24" s="7" t="n"/>
    </row>
    <row r="25" ht="19.5" customHeight="1">
      <c r="A25" s="4" t="inlineStr">
        <is>
          <t>Instant equity created</t>
        </is>
      </c>
      <c r="B25" s="11">
        <f>B23-B24</f>
        <v/>
      </c>
      <c r="C25" s="6" t="inlineStr">
        <is>
          <t>ARV minus everything you'll have spent to get there</t>
        </is>
      </c>
      <c r="D25" s="32" t="n"/>
    </row>
    <row r="26" ht="19.5" customHeight="1">
      <c r="A26" s="4" t="inlineStr">
        <is>
          <t>Loan amount (enter from your financing)</t>
        </is>
      </c>
      <c r="B26" s="9" t="n">
        <v>337095</v>
      </c>
      <c r="C26" s="7" t="n"/>
      <c r="D26" s="7" t="n"/>
    </row>
    <row r="27" ht="19.5" customHeight="1">
      <c r="A27" s="4" t="inlineStr">
        <is>
          <t>Loan-to-ARV ratio</t>
        </is>
      </c>
      <c r="B27" s="12">
        <f>B26/B23</f>
        <v/>
      </c>
      <c r="C27" s="6" t="inlineStr">
        <is>
          <t>Most cash-out refinances cap around 75-90% of ARV</t>
        </is>
      </c>
      <c r="D27" s="32" t="n"/>
    </row>
  </sheetData>
  <mergeCells count="14">
    <mergeCell ref="A1:D1"/>
    <mergeCell ref="C7:D7"/>
    <mergeCell ref="C16:D16"/>
    <mergeCell ref="C15:D15"/>
    <mergeCell ref="A4:D4"/>
    <mergeCell ref="C25:D25"/>
    <mergeCell ref="C27:D27"/>
    <mergeCell ref="A21:D21"/>
    <mergeCell ref="C14:D14"/>
    <mergeCell ref="C22:D22"/>
    <mergeCell ref="A2:D2"/>
    <mergeCell ref="C18:D18"/>
    <mergeCell ref="C23:D23"/>
    <mergeCell ref="A13:D13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4" customWidth="1" min="1" max="1"/>
    <col width="18" customWidth="1" min="2" max="3"/>
    <col width="40" customWidth="1" min="4" max="4"/>
  </cols>
  <sheetData>
    <row r="1" ht="33.75" customHeight="1">
      <c r="A1" s="1" t="inlineStr">
        <is>
          <t>VA Loan Numbers</t>
        </is>
      </c>
    </row>
    <row r="2" ht="21.75" customHeight="1">
      <c r="A2" s="2" t="inlineStr">
        <is>
          <t>Entitlement math across your prior VA loans</t>
        </is>
      </c>
    </row>
    <row r="4" ht="24" customHeight="1">
      <c r="A4" s="3" t="inlineStr">
        <is>
          <t>Your prior VA loans</t>
        </is>
      </c>
    </row>
    <row r="5" ht="19.5" customHeight="1">
      <c r="B5" s="13" t="inlineStr">
        <is>
          <t>Loan 1</t>
        </is>
      </c>
      <c r="C5" s="13" t="inlineStr">
        <is>
          <t>Loan 2</t>
        </is>
      </c>
      <c r="D5" s="14" t="n"/>
    </row>
    <row r="6" ht="19.5" customHeight="1">
      <c r="A6" s="15" t="inlineStr">
        <is>
          <t>Property / nickname</t>
        </is>
      </c>
      <c r="B6" s="16" t="inlineStr">
        <is>
          <t>None yet - first VA loan</t>
        </is>
      </c>
      <c r="C6" s="16" t="n"/>
      <c r="D6" s="7" t="n"/>
    </row>
    <row r="7" ht="19.5" customHeight="1">
      <c r="A7" s="15" t="inlineStr">
        <is>
          <t>Original loan amount</t>
        </is>
      </c>
      <c r="B7" s="17" t="n">
        <v>0</v>
      </c>
      <c r="C7" s="17" t="n">
        <v>0</v>
      </c>
      <c r="D7" s="7" t="n"/>
    </row>
    <row r="8" ht="19.5" customHeight="1">
      <c r="A8" s="15" t="inlineStr">
        <is>
          <t>Entitlement charged (25%)</t>
        </is>
      </c>
      <c r="B8" s="18">
        <f>B7*0.25</f>
        <v/>
      </c>
      <c r="C8" s="18">
        <f>C7*0.25</f>
        <v/>
      </c>
      <c r="D8" s="7" t="n"/>
    </row>
    <row r="10" ht="24" customHeight="1">
      <c r="A10" s="3" t="inlineStr">
        <is>
          <t>Total entitlement picture</t>
        </is>
      </c>
    </row>
    <row r="11" ht="19.5" customHeight="1">
      <c r="A11" s="4" t="inlineStr">
        <is>
          <t>Loan limit for the new area</t>
        </is>
      </c>
      <c r="B11" s="9" t="n">
        <v>832750</v>
      </c>
      <c r="C11" s="6" t="inlineStr">
        <is>
          <t>Look this up for the specific county - it varies</t>
        </is>
      </c>
      <c r="D11" s="32" t="n"/>
    </row>
    <row r="12" ht="19.5" customHeight="1">
      <c r="A12" s="4" t="inlineStr">
        <is>
          <t>Total entitlement charged (both prior loans)</t>
        </is>
      </c>
      <c r="B12" s="11">
        <f>B8+C8</f>
        <v/>
      </c>
      <c r="C12" s="7" t="n"/>
      <c r="D12" s="7" t="n"/>
    </row>
    <row r="13" ht="19.5" customHeight="1">
      <c r="A13" s="4" t="inlineStr">
        <is>
          <t>Total entitlement available for this area</t>
        </is>
      </c>
      <c r="B13" s="11">
        <f>B11*0.25</f>
        <v/>
      </c>
      <c r="C13" s="7" t="n"/>
      <c r="D13" s="7" t="n"/>
    </row>
    <row r="14" ht="19.5" customHeight="1">
      <c r="A14" s="4" t="inlineStr">
        <is>
          <t>What's left for a new loan</t>
        </is>
      </c>
      <c r="B14" s="11">
        <f>MAX(0,B13-B12)</f>
        <v/>
      </c>
      <c r="C14" s="7" t="n"/>
      <c r="D14" s="7" t="n"/>
    </row>
    <row r="16" ht="24" customHeight="1">
      <c r="A16" s="3" t="inlineStr">
        <is>
          <t>Your next purchase</t>
        </is>
      </c>
    </row>
    <row r="17" ht="19.5" customHeight="1">
      <c r="A17" s="4" t="inlineStr">
        <is>
          <t>Price of the new home</t>
        </is>
      </c>
      <c r="B17" s="9" t="n">
        <v>330000</v>
      </c>
      <c r="C17" s="7" t="n"/>
      <c r="D17" s="7" t="n"/>
    </row>
    <row r="18" ht="19.5" customHeight="1">
      <c r="A18" s="4" t="inlineStr">
        <is>
          <t>Loan amount needed</t>
        </is>
      </c>
      <c r="B18" s="11">
        <f>B17</f>
        <v/>
      </c>
      <c r="C18" s="7" t="n"/>
      <c r="D18" s="7" t="n"/>
    </row>
    <row r="19" ht="19.5" customHeight="1">
      <c r="A19" s="4" t="inlineStr">
        <is>
          <t>25% of that loan</t>
        </is>
      </c>
      <c r="B19" s="11">
        <f>B18*0.25</f>
        <v/>
      </c>
      <c r="C19" s="7" t="n"/>
      <c r="D19" s="7" t="n"/>
    </row>
    <row r="20" ht="19.5" customHeight="1">
      <c r="A20" s="4" t="inlineStr">
        <is>
          <t>Down payment you'd need</t>
        </is>
      </c>
      <c r="B20" s="11">
        <f>MAX(0,B19-B14)</f>
        <v/>
      </c>
      <c r="C20" s="7" t="n"/>
      <c r="D20" s="7" t="n"/>
    </row>
    <row r="21" ht="19.5" customHeight="1">
      <c r="A21" s="4" t="inlineStr">
        <is>
          <t>Can you buy with $0 down?</t>
        </is>
      </c>
      <c r="B21" s="5">
        <f>IF(B20=0,"Yes","No - see down payment above")</f>
        <v/>
      </c>
      <c r="C21" s="7" t="n"/>
      <c r="D21" s="7" t="n"/>
    </row>
    <row r="23" ht="24" customHeight="1">
      <c r="A23" s="3" t="inlineStr">
        <is>
          <t>VA Funding Fee</t>
        </is>
      </c>
    </row>
    <row r="24" ht="19.5" customHeight="1">
      <c r="A24" s="4" t="inlineStr">
        <is>
          <t>Do you have a VA disability rating?</t>
        </is>
      </c>
      <c r="B24" s="8" t="inlineStr">
        <is>
          <t>No</t>
        </is>
      </c>
      <c r="C24" s="6" t="inlineStr">
        <is>
          <t>If yes, the funding fee is waived entirely</t>
        </is>
      </c>
      <c r="D24" s="32" t="n"/>
    </row>
    <row r="25" ht="19.5" customHeight="1">
      <c r="A25" s="4" t="inlineStr">
        <is>
          <t>Is this your first time using a VA loan?</t>
        </is>
      </c>
      <c r="B25" s="5">
        <f>IF(OR(B7&gt;0,C7&gt;0),"No","Yes")</f>
        <v/>
      </c>
      <c r="C25" s="6" t="inlineStr">
        <is>
          <t>Auto-derived from whether you've logged any prior VA loans above</t>
        </is>
      </c>
      <c r="D25" s="32" t="n"/>
    </row>
    <row r="26" ht="19.5" customHeight="1">
      <c r="A26" s="4" t="inlineStr">
        <is>
          <t>Down payment percentage</t>
        </is>
      </c>
      <c r="B26" s="12">
        <f>IF(B18=0,0,B20/B18)</f>
        <v/>
      </c>
      <c r="C26" s="7" t="n"/>
      <c r="D26" s="7" t="n"/>
    </row>
    <row r="27" ht="19.5" customHeight="1">
      <c r="A27" s="4" t="inlineStr">
        <is>
          <t>Funding fee rate</t>
        </is>
      </c>
      <c r="B27" s="19">
        <f>IF(UPPER(B24)="YES",0,IF(B26&gt;=0.1,0.0125,IF(B26&gt;=0.05,0.015,IF(UPPER(B25)="YES",0.0215,0.033))))</f>
        <v/>
      </c>
      <c r="C27" s="6" t="inlineStr">
        <is>
          <t>Standard VA schedule - confirm current rate at va.gov before closing</t>
        </is>
      </c>
      <c r="D27" s="32" t="n"/>
    </row>
    <row r="28" ht="19.5" customHeight="1">
      <c r="A28" s="4" t="inlineStr">
        <is>
          <t>Funding fee amount</t>
        </is>
      </c>
      <c r="B28" s="11">
        <f>B18*B27</f>
        <v/>
      </c>
      <c r="C28" s="7" t="n"/>
      <c r="D28" s="7" t="n"/>
    </row>
    <row r="29" ht="19.5" customHeight="1">
      <c r="A29" s="4" t="inlineStr">
        <is>
          <t>Total loan if fee is rolled in</t>
        </is>
      </c>
      <c r="B29" s="11">
        <f>B18+B28</f>
        <v/>
      </c>
      <c r="C29" s="7" t="n"/>
      <c r="D29" s="7" t="n"/>
    </row>
  </sheetData>
  <mergeCells count="10">
    <mergeCell ref="A1:D1"/>
    <mergeCell ref="A23:D23"/>
    <mergeCell ref="C24:D24"/>
    <mergeCell ref="A4:D4"/>
    <mergeCell ref="C11:D11"/>
    <mergeCell ref="C25:D25"/>
    <mergeCell ref="C27:D27"/>
    <mergeCell ref="A2:D2"/>
    <mergeCell ref="A16:D16"/>
    <mergeCell ref="A10:D10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6" customWidth="1" min="1" max="1"/>
    <col width="22" customWidth="1" min="2" max="2"/>
    <col width="48" customWidth="1" min="3" max="3"/>
    <col width="5" customWidth="1" min="4" max="4"/>
  </cols>
  <sheetData>
    <row r="1" ht="33.75" customHeight="1">
      <c r="A1" s="1" t="inlineStr">
        <is>
          <t>Rental Income for Next Loan</t>
        </is>
      </c>
    </row>
    <row r="2" ht="21.75" customHeight="1">
      <c r="A2" s="2" t="inlineStr">
        <is>
          <t>How your old home's rent factors into qualifying for a new VA loan</t>
        </is>
      </c>
    </row>
    <row r="4" ht="24" customHeight="1">
      <c r="A4" s="3" t="inlineStr">
        <is>
          <t>Your old home as a rental</t>
        </is>
      </c>
    </row>
    <row r="5" ht="19.5" customHeight="1">
      <c r="A5" s="4" t="inlineStr">
        <is>
          <t>Monthly rent (per lease)</t>
        </is>
      </c>
      <c r="B5" s="9" t="n">
        <v>1800</v>
      </c>
      <c r="C5" s="7" t="n"/>
      <c r="D5" s="7" t="n"/>
    </row>
    <row r="6" ht="19.5" customHeight="1">
      <c r="A6" s="4" t="inlineStr">
        <is>
          <t>Do you have a signed lease?</t>
        </is>
      </c>
      <c r="B6" s="8" t="inlineStr">
        <is>
          <t>Yes</t>
        </is>
      </c>
      <c r="C6" s="7" t="n"/>
      <c r="D6" s="7" t="n"/>
    </row>
    <row r="7" ht="19.5" customHeight="1">
      <c r="A7" s="4" t="inlineStr">
        <is>
          <t>Rent counted by lenders</t>
        </is>
      </c>
      <c r="B7" s="11">
        <f>B5*0.75</f>
        <v/>
      </c>
      <c r="C7" s="6" t="inlineStr">
        <is>
          <t>Lenders typically count 75% of rent to leave room for vacancy and repairs</t>
        </is>
      </c>
      <c r="D7" s="32" t="n"/>
    </row>
    <row r="8" ht="19.5" customHeight="1">
      <c r="A8" s="4" t="inlineStr">
        <is>
          <t>Monthly payment on that home</t>
        </is>
      </c>
      <c r="B8" s="9" t="n">
        <v>2232</v>
      </c>
      <c r="C8" s="7" t="n"/>
      <c r="D8" s="7" t="n"/>
    </row>
    <row r="9" ht="19.5" customHeight="1">
      <c r="A9" s="4" t="inlineStr">
        <is>
          <t>Extra cash flow (or shortfall)</t>
        </is>
      </c>
      <c r="B9" s="11">
        <f>B7-B8</f>
        <v/>
      </c>
      <c r="C9" s="7" t="n"/>
      <c r="D9" s="7" t="n"/>
    </row>
    <row r="11" ht="24" customHeight="1">
      <c r="A11" s="3" t="inlineStr">
        <is>
          <t>Can you afford both homes?</t>
        </is>
      </c>
    </row>
    <row r="12" ht="19.5" customHeight="1">
      <c r="A12" s="4" t="inlineStr">
        <is>
          <t>Total household income (monthly)</t>
        </is>
      </c>
      <c r="B12" s="9" t="n">
        <v>12000</v>
      </c>
      <c r="C12" s="7" t="n"/>
      <c r="D12" s="7" t="n"/>
    </row>
    <row r="13" ht="19.5" customHeight="1">
      <c r="A13" s="4" t="inlineStr">
        <is>
          <t>New home's monthly payment</t>
        </is>
      </c>
      <c r="B13" s="9" t="n">
        <v>2650</v>
      </c>
      <c r="C13" s="7" t="n"/>
      <c r="D13" s="7" t="n"/>
    </row>
    <row r="14" ht="19.5" customHeight="1">
      <c r="A14" s="4" t="inlineStr">
        <is>
          <t>Shortfall added as debt (if rent doesn't cover old payment)</t>
        </is>
      </c>
      <c r="B14" s="11">
        <f>IF(B9&lt;0,-B9,0)</f>
        <v/>
      </c>
      <c r="C14" s="7" t="n"/>
      <c r="D14" s="7" t="n"/>
    </row>
    <row r="15" ht="19.5" customHeight="1">
      <c r="A15" s="4" t="inlineStr">
        <is>
          <t>Other monthly debts (car, credit cards, etc.)</t>
        </is>
      </c>
      <c r="B15" s="9" t="n">
        <v>900</v>
      </c>
      <c r="C15" s="7" t="n"/>
      <c r="D15" s="7" t="n"/>
    </row>
    <row r="16" ht="19.5" customHeight="1">
      <c r="A16" s="4" t="inlineStr">
        <is>
          <t>Total monthly debt</t>
        </is>
      </c>
      <c r="B16" s="11">
        <f>B13+B14+B15</f>
        <v/>
      </c>
      <c r="C16" s="7" t="n"/>
      <c r="D16" s="7" t="n"/>
    </row>
    <row r="17" ht="19.5" customHeight="1">
      <c r="A17" s="4" t="inlineStr">
        <is>
          <t>Debt as a share of income</t>
        </is>
      </c>
      <c r="B17" s="12">
        <f>B16/B12</f>
        <v/>
      </c>
      <c r="C17" s="6" t="inlineStr">
        <is>
          <t>A helpful sanity check - VA underwriting mainly looks at your leftover monthly income, not this ratio alone</t>
        </is>
      </c>
      <c r="D17" s="32" t="n"/>
    </row>
  </sheetData>
  <mergeCells count="6">
    <mergeCell ref="A1:D1"/>
    <mergeCell ref="C7:D7"/>
    <mergeCell ref="A4:D4"/>
    <mergeCell ref="A2:D2"/>
    <mergeCell ref="A11:D11"/>
    <mergeCell ref="C17:D17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5" customWidth="1" min="2" max="2"/>
  </cols>
  <sheetData>
    <row r="1" ht="33.75" customHeight="1">
      <c r="A1" s="1" t="inlineStr">
        <is>
          <t>VA Rules in Plain English</t>
        </is>
      </c>
    </row>
    <row r="2" ht="21.75" customHeight="1">
      <c r="A2" s="2" t="inlineStr">
        <is>
          <t>The rules that matter most for this workbook - double check anything time-sensitive at va.gov</t>
        </is>
      </c>
    </row>
    <row r="4" ht="24" customHeight="1">
      <c r="A4" s="3" t="inlineStr">
        <is>
          <t>Living in the home</t>
        </is>
      </c>
    </row>
    <row r="5" ht="43.5" customHeight="1">
      <c r="A5" s="20" t="inlineStr">
        <is>
          <t>The VA doesn't set an exact minimum time, but most lenders expect around 12 months before you move out and rent it.</t>
        </is>
      </c>
    </row>
    <row r="7" ht="24" customHeight="1">
      <c r="A7" s="3" t="inlineStr">
        <is>
          <t>PCS as the exception</t>
        </is>
      </c>
    </row>
    <row r="8" ht="43.5" customHeight="1">
      <c r="A8" s="20" t="inlineStr">
        <is>
          <t>Military orders are the clearest reason to move out early. As long as you genuinely intended to live there when you bought it, a PCS move doesn't cause problems.</t>
        </is>
      </c>
    </row>
    <row r="10" ht="24" customHeight="1">
      <c r="A10" s="3" t="inlineStr">
        <is>
          <t>Occupancy fraud</t>
        </is>
      </c>
    </row>
    <row r="11" ht="43.5" customHeight="1">
      <c r="A11" s="20" t="inlineStr">
        <is>
          <t>Buying with no real intention of living there is a serious problem. Keep your paperwork - orders, lease, insurance change - to show your move was legitimate.</t>
        </is>
      </c>
    </row>
    <row r="13" ht="24" customHeight="1">
      <c r="A13" s="3" t="inlineStr">
        <is>
          <t>Renting it out later</t>
        </is>
      </c>
    </row>
    <row r="14" ht="43.5" customHeight="1">
      <c r="A14" s="20" t="inlineStr">
        <is>
          <t>Once you've met the occupancy expectation, there's no VA rule against renting the home. Your loan terms stay exactly the same.</t>
        </is>
      </c>
    </row>
    <row r="16" ht="24" customHeight="1">
      <c r="A16" s="3" t="inlineStr">
        <is>
          <t>How much you can borrow again</t>
        </is>
      </c>
    </row>
    <row r="17" ht="43.5" customHeight="1">
      <c r="A17" s="20" t="inlineStr">
        <is>
          <t>Roughly: your entitlement for an area equals 25% of that area's loan limit. Whatever's already tied up in your current loan(s) reduces what's left for a new one.</t>
        </is>
      </c>
    </row>
    <row r="19" ht="24" customHeight="1">
      <c r="A19" s="3" t="inlineStr">
        <is>
          <t>Getting entitlement back</t>
        </is>
      </c>
    </row>
    <row r="20" ht="43.5" customHeight="1">
      <c r="A20" s="20" t="inlineStr">
        <is>
          <t>It stays tied up until that loan is paid off or the home is sold. Plan your next purchase with that in mind.</t>
        </is>
      </c>
    </row>
    <row r="22" ht="24" customHeight="1">
      <c r="A22" s="3" t="inlineStr">
        <is>
          <t>Counting rental income</t>
        </is>
      </c>
    </row>
    <row r="23" ht="43.5" customHeight="1">
      <c r="A23" s="20" t="inlineStr">
        <is>
          <t>Lenders typically count about 75% of the rent (from a signed lease) toward offsetting your old home's payment - you generally don't need years of landlord history first.</t>
        </is>
      </c>
    </row>
    <row r="25" ht="24" customHeight="1">
      <c r="A25" s="3" t="inlineStr">
        <is>
          <t>The funding fee</t>
        </is>
      </c>
    </row>
    <row r="26" ht="43.5" customHeight="1">
      <c r="A26" s="20" t="inlineStr">
        <is>
          <t>A one-time VA fee based on your down payment and whether you've used a VA loan before. Veterans with a disability rating don't pay it. Rates can change - confirm before closing.</t>
        </is>
      </c>
    </row>
    <row r="28" ht="24" customHeight="1">
      <c r="A28" s="3" t="inlineStr">
        <is>
          <t>Buying a small multi-unit</t>
        </is>
      </c>
    </row>
    <row r="29" ht="43.5" customHeight="1">
      <c r="A29" s="20" t="inlineStr">
        <is>
          <t>You can use a VA loan on a 2-4 unit property if you live in one unit - the rent from the others can help you qualify.</t>
        </is>
      </c>
    </row>
    <row r="31" ht="24" customHeight="1">
      <c r="A31" s="3" t="inlineStr">
        <is>
          <t>The bigger picture</t>
        </is>
      </c>
    </row>
    <row r="32" ht="43.5" customHeight="1">
      <c r="A32" s="20" t="inlineStr">
        <is>
          <t>VA loans are built for owner-occupied homes, up to 4 units. They're a great way to build equity and experience - just not a way to directly finance larger commercial real estate.</t>
        </is>
      </c>
    </row>
  </sheetData>
  <mergeCells count="22">
    <mergeCell ref="A11:B11"/>
    <mergeCell ref="A1:B1"/>
    <mergeCell ref="A16:B16"/>
    <mergeCell ref="A7:B7"/>
    <mergeCell ref="A25:B25"/>
    <mergeCell ref="A26:B26"/>
    <mergeCell ref="A2:B2"/>
    <mergeCell ref="A5:B5"/>
    <mergeCell ref="A32:B32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31:B31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18" customWidth="1" min="3" max="3"/>
    <col width="55" customWidth="1" min="4" max="4"/>
  </cols>
  <sheetData>
    <row r="1" ht="33.75" customHeight="1">
      <c r="A1" s="1" t="inlineStr">
        <is>
          <t>What You Need to Fill In</t>
        </is>
      </c>
    </row>
    <row r="2" ht="21.75" customHeight="1">
      <c r="A2" s="2" t="inlineStr">
        <is>
          <t>Every yellow cell in this workbook, in one place, with where to find each number</t>
        </is>
      </c>
    </row>
    <row r="4" ht="19.5" customHeight="1">
      <c r="A4" s="13" t="inlineStr">
        <is>
          <t>Tab</t>
        </is>
      </c>
      <c r="B4" s="13" t="inlineStr">
        <is>
          <t>What to enter</t>
        </is>
      </c>
      <c r="C4" s="13" t="inlineStr">
        <is>
          <t>Cell</t>
        </is>
      </c>
      <c r="D4" s="13" t="inlineStr">
        <is>
          <t>Where to get it</t>
        </is>
      </c>
    </row>
    <row r="5" ht="21.75" customHeight="1">
      <c r="A5" s="3" t="inlineStr">
        <is>
          <t>Property Snapshot</t>
        </is>
      </c>
    </row>
    <row r="6" ht="27.75" customHeight="1">
      <c r="A6" s="15" t="n"/>
      <c r="B6" s="4" t="inlineStr">
        <is>
          <t>Address</t>
        </is>
      </c>
      <c r="C6" s="21" t="inlineStr">
        <is>
          <t>Property Snapshot!B5</t>
        </is>
      </c>
      <c r="D6" s="6" t="inlineStr">
        <is>
          <t>Enter your own number for this property</t>
        </is>
      </c>
    </row>
    <row r="7" ht="27.75" customHeight="1">
      <c r="A7" s="15" t="n"/>
      <c r="B7" s="4" t="inlineStr">
        <is>
          <t>City / State / Zip</t>
        </is>
      </c>
      <c r="C7" s="21" t="inlineStr">
        <is>
          <t>Property Snapshot!B6</t>
        </is>
      </c>
      <c r="D7" s="6" t="inlineStr">
        <is>
          <t>Enter your own number for this property</t>
        </is>
      </c>
    </row>
    <row r="8" ht="27.75" customHeight="1">
      <c r="A8" s="15" t="n"/>
      <c r="B8" s="4" t="inlineStr">
        <is>
          <t>County</t>
        </is>
      </c>
      <c r="C8" s="21" t="inlineStr">
        <is>
          <t>Property Snapshot!B7</t>
        </is>
      </c>
      <c r="D8" s="6" t="inlineStr">
        <is>
          <t>Richardson ISD school district - southern two-thirds of Richardson is Dallas County/Richardson ISD; northern third is Collin County/Plano ISD</t>
        </is>
      </c>
    </row>
    <row r="9" ht="27.75" customHeight="1">
      <c r="A9" s="15" t="n"/>
      <c r="B9" s="4" t="inlineStr">
        <is>
          <t>Property Type</t>
        </is>
      </c>
      <c r="C9" s="21" t="inlineStr">
        <is>
          <t>Property Snapshot!B8</t>
        </is>
      </c>
      <c r="D9" s="6" t="inlineStr">
        <is>
          <t>Enter your own number for this property</t>
        </is>
      </c>
    </row>
    <row r="10" ht="27.75" customHeight="1">
      <c r="A10" s="15" t="n"/>
      <c r="B10" s="4" t="inlineStr">
        <is>
          <t>Beds / Baths</t>
        </is>
      </c>
      <c r="C10" s="21" t="inlineStr">
        <is>
          <t>Property Snapshot!B9</t>
        </is>
      </c>
      <c r="D10" s="6" t="inlineStr">
        <is>
          <t>Enter your own number for this property</t>
        </is>
      </c>
    </row>
    <row r="11" ht="27.75" customHeight="1">
      <c r="A11" s="15" t="n"/>
      <c r="B11" s="4" t="inlineStr">
        <is>
          <t>Square Feet</t>
        </is>
      </c>
      <c r="C11" s="21" t="inlineStr">
        <is>
          <t>Property Snapshot!B10</t>
        </is>
      </c>
      <c r="D11" s="6" t="inlineStr">
        <is>
          <t>Enter your own number for this property</t>
        </is>
      </c>
    </row>
    <row r="12" ht="27.75" customHeight="1">
      <c r="A12" s="15" t="n"/>
      <c r="B12" s="4" t="inlineStr">
        <is>
          <t>Year Built</t>
        </is>
      </c>
      <c r="C12" s="21" t="inlineStr">
        <is>
          <t>Property Snapshot!B11</t>
        </is>
      </c>
      <c r="D12" s="6" t="inlineStr">
        <is>
          <t>Enter your own number for this property</t>
        </is>
      </c>
    </row>
    <row r="13" ht="27.75" customHeight="1">
      <c r="A13" s="15" t="n"/>
      <c r="B13" s="4" t="inlineStr">
        <is>
          <t>Price</t>
        </is>
      </c>
      <c r="C13" s="21" t="inlineStr">
        <is>
          <t>Property Snapshot!B14</t>
        </is>
      </c>
      <c r="D13" s="6" t="inlineStr">
        <is>
          <t>Matches recent sale price on record</t>
        </is>
      </c>
    </row>
    <row r="14" ht="27.75" customHeight="1">
      <c r="A14" s="15" t="n"/>
      <c r="B14" s="4" t="inlineStr">
        <is>
          <t>Expected Monthly Rent</t>
        </is>
      </c>
      <c r="C14" s="21" t="inlineStr">
        <is>
          <t>Property Snapshot!B15</t>
        </is>
      </c>
      <c r="D14" s="6" t="inlineStr">
        <is>
          <t>LOW CONFIDENCE - nearby comps ($2,295-$2,695) are mostly 3-bed homes; this is a smaller/older 2-bed. Get a property manager's opinion for a real number.</t>
        </is>
      </c>
    </row>
    <row r="15" ht="27.75" customHeight="1">
      <c r="A15" s="15" t="n"/>
      <c r="B15" s="4" t="inlineStr">
        <is>
          <t>Yearly Insurance</t>
        </is>
      </c>
      <c r="C15" s="21" t="inlineStr">
        <is>
          <t>Property Snapshot!B16</t>
        </is>
      </c>
      <c r="D15" s="6" t="inlineStr">
        <is>
          <t>No quote yet - placeholder estimate</t>
        </is>
      </c>
    </row>
    <row r="16" ht="27.75" customHeight="1">
      <c r="A16" s="15" t="n"/>
      <c r="B16" s="4" t="inlineStr">
        <is>
          <t>Monthly HOA (if any)</t>
        </is>
      </c>
      <c r="C16" s="21" t="inlineStr">
        <is>
          <t>Property Snapshot!B17</t>
        </is>
      </c>
      <c r="D16" s="6" t="inlineStr">
        <is>
          <t>Enter your own number for this property</t>
        </is>
      </c>
    </row>
    <row r="17" ht="27.75" customHeight="1">
      <c r="A17" s="15" t="n"/>
      <c r="B17" s="4" t="inlineStr">
        <is>
          <t>Repairs Needed Before Renting</t>
        </is>
      </c>
      <c r="C17" s="21" t="inlineStr">
        <is>
          <t>Property Snapshot!B18</t>
        </is>
      </c>
      <c r="D17" s="6" t="inlineStr">
        <is>
          <t>No major capital needs reported</t>
        </is>
      </c>
    </row>
    <row r="18" ht="27.75" customHeight="1">
      <c r="A18" s="15" t="n"/>
      <c r="B18" s="4" t="inlineStr">
        <is>
          <t>Value the repairs are expected to add</t>
        </is>
      </c>
      <c r="C18" s="21" t="inlineStr">
        <is>
          <t>Property Snapshot!B22</t>
        </is>
      </c>
      <c r="D18" s="6" t="inlineStr">
        <is>
          <t>Not a rehab deal - no repairs planned</t>
        </is>
      </c>
    </row>
    <row r="19" ht="27.75" customHeight="1">
      <c r="A19" s="15" t="n"/>
      <c r="B19" s="4" t="inlineStr">
        <is>
          <t>Loan amount (enter from your financing)</t>
        </is>
      </c>
      <c r="C19" s="21" t="inlineStr">
        <is>
          <t>Property Snapshot!B26</t>
        </is>
      </c>
      <c r="D19" s="6" t="inlineStr">
        <is>
          <t>Enter your own number for this property</t>
        </is>
      </c>
    </row>
    <row r="20" ht="21.75" customHeight="1">
      <c r="A20" s="3" t="inlineStr">
        <is>
          <t>VA Loan Numbers</t>
        </is>
      </c>
    </row>
    <row r="21" ht="27.75" customHeight="1">
      <c r="A21" s="15" t="n"/>
      <c r="B21" s="4" t="inlineStr">
        <is>
          <t>Prior VA loan 1 - property nickname</t>
        </is>
      </c>
      <c r="C21" s="21" t="inlineStr">
        <is>
          <t>VA Loan Numbers!B6</t>
        </is>
      </c>
      <c r="D21" s="6" t="inlineStr">
        <is>
          <t>Just a label to keep track of which loan is which</t>
        </is>
      </c>
    </row>
    <row r="22" ht="27.75" customHeight="1">
      <c r="A22" s="15" t="n"/>
      <c r="B22" s="4" t="inlineStr">
        <is>
          <t>Prior VA loan 2 - property nickname</t>
        </is>
      </c>
      <c r="C22" s="21" t="inlineStr">
        <is>
          <t>VA Loan Numbers!C6</t>
        </is>
      </c>
      <c r="D22" s="6" t="inlineStr">
        <is>
          <t>Enter your own number for this property</t>
        </is>
      </c>
    </row>
    <row r="23" ht="27.75" customHeight="1">
      <c r="A23" s="15" t="n"/>
      <c r="B23" s="4" t="inlineStr">
        <is>
          <t>Prior VA loan 1 - original loan amount</t>
        </is>
      </c>
      <c r="C23" s="21" t="inlineStr">
        <is>
          <t>VA Loan Numbers!B7</t>
        </is>
      </c>
      <c r="D23" s="6" t="inlineStr">
        <is>
          <t>Kelley has not used a VA loan before - left at $0</t>
        </is>
      </c>
    </row>
    <row r="24" ht="27.75" customHeight="1">
      <c r="A24" s="15" t="n"/>
      <c r="B24" s="4" t="inlineStr">
        <is>
          <t>Prior VA loan 2 - original loan amount</t>
        </is>
      </c>
      <c r="C24" s="21" t="inlineStr">
        <is>
          <t>VA Loan Numbers!C7</t>
        </is>
      </c>
      <c r="D24" s="6" t="inlineStr">
        <is>
          <t>Enter your own number for this property</t>
        </is>
      </c>
    </row>
    <row r="25" ht="27.75" customHeight="1">
      <c r="A25" s="15" t="n"/>
      <c r="B25" s="4" t="inlineStr">
        <is>
          <t>Loan limit for the new area</t>
        </is>
      </c>
      <c r="C25" s="21" t="inlineStr">
        <is>
          <t>VA Loan Numbers!B11</t>
        </is>
      </c>
      <c r="D25" s="6" t="inlineStr">
        <is>
          <t>Look this up for the specific county - it varies</t>
        </is>
      </c>
    </row>
    <row r="26" ht="27.75" customHeight="1">
      <c r="A26" s="15" t="n"/>
      <c r="B26" s="4" t="inlineStr">
        <is>
          <t>Price of the new home</t>
        </is>
      </c>
      <c r="C26" s="21" t="inlineStr">
        <is>
          <t>VA Loan Numbers!B17</t>
        </is>
      </c>
      <c r="D26" s="6" t="inlineStr">
        <is>
          <t>Enter your own number for this property</t>
        </is>
      </c>
    </row>
    <row r="27" ht="27.75" customHeight="1">
      <c r="A27" s="15" t="n"/>
      <c r="B27" s="4" t="inlineStr">
        <is>
          <t>Do you have a VA disability rating?</t>
        </is>
      </c>
      <c r="C27" s="21" t="inlineStr">
        <is>
          <t>VA Loan Numbers!B24</t>
        </is>
      </c>
      <c r="D27" s="6" t="inlineStr">
        <is>
          <t>If yes, the funding fee is waived entirely</t>
        </is>
      </c>
    </row>
    <row r="28" ht="21.75" customHeight="1">
      <c r="A28" s="3" t="inlineStr">
        <is>
          <t>Rental Income for Next Loan</t>
        </is>
      </c>
    </row>
    <row r="29" ht="27.75" customHeight="1">
      <c r="A29" s="15" t="n"/>
      <c r="B29" s="4" t="inlineStr">
        <is>
          <t>Monthly rent (per lease)</t>
        </is>
      </c>
      <c r="C29" s="21" t="inlineStr">
        <is>
          <t>Rental Income for Next Loan!B5</t>
        </is>
      </c>
      <c r="D29" s="6" t="inlineStr">
        <is>
          <t>Enter your own number for this property</t>
        </is>
      </c>
    </row>
    <row r="30" ht="27.75" customHeight="1">
      <c r="A30" s="15" t="n"/>
      <c r="B30" s="4" t="inlineStr">
        <is>
          <t>Do you have a signed lease?</t>
        </is>
      </c>
      <c r="C30" s="21" t="inlineStr">
        <is>
          <t>Rental Income for Next Loan!B6</t>
        </is>
      </c>
      <c r="D30" s="6" t="inlineStr">
        <is>
          <t>Enter your own number for this property</t>
        </is>
      </c>
    </row>
    <row r="31" ht="27.75" customHeight="1">
      <c r="A31" s="15" t="n"/>
      <c r="B31" s="4" t="inlineStr">
        <is>
          <t>Monthly payment on that home</t>
        </is>
      </c>
      <c r="C31" s="21" t="inlineStr">
        <is>
          <t>Rental Income for Next Loan!B8</t>
        </is>
      </c>
      <c r="D31" s="6" t="inlineStr">
        <is>
          <t>Enter your own number for this property</t>
        </is>
      </c>
    </row>
    <row r="32" ht="27.75" customHeight="1">
      <c r="A32" s="15" t="n"/>
      <c r="B32" s="4" t="inlineStr">
        <is>
          <t>Total household income (monthly)</t>
        </is>
      </c>
      <c r="C32" s="21" t="inlineStr">
        <is>
          <t>Rental Income for Next Loan!B12</t>
        </is>
      </c>
      <c r="D32" s="6" t="inlineStr">
        <is>
          <t>Enter your own number for this property</t>
        </is>
      </c>
    </row>
    <row r="33" ht="27.75" customHeight="1">
      <c r="A33" s="15" t="n"/>
      <c r="B33" s="4" t="inlineStr">
        <is>
          <t>New home's monthly payment</t>
        </is>
      </c>
      <c r="C33" s="21" t="inlineStr">
        <is>
          <t>Rental Income for Next Loan!B13</t>
        </is>
      </c>
      <c r="D33" s="6" t="inlineStr">
        <is>
          <t>Enter your own number for this property</t>
        </is>
      </c>
    </row>
    <row r="34" ht="27.75" customHeight="1">
      <c r="A34" s="15" t="n"/>
      <c r="B34" s="4" t="inlineStr">
        <is>
          <t>Other monthly debts (car, credit cards, etc.)</t>
        </is>
      </c>
      <c r="C34" s="21" t="inlineStr">
        <is>
          <t>Rental Income for Next Loan!B15</t>
        </is>
      </c>
      <c r="D34" s="6" t="inlineStr">
        <is>
          <t>Enter your own number for this property</t>
        </is>
      </c>
    </row>
    <row r="35" ht="21.75" customHeight="1">
      <c r="A35" s="3" t="inlineStr">
        <is>
          <t>Monthly Deal Numbers</t>
        </is>
      </c>
    </row>
    <row r="36" ht="27.75" customHeight="1">
      <c r="A36" s="15" t="n"/>
      <c r="B36" s="4" t="inlineStr">
        <is>
          <t>Down payment</t>
        </is>
      </c>
      <c r="C36" s="21" t="inlineStr">
        <is>
          <t>Monthly Deal Numbers!B6</t>
        </is>
      </c>
      <c r="D36" s="6" t="inlineStr">
        <is>
          <t>Enter your own number for this property</t>
        </is>
      </c>
    </row>
    <row r="37" ht="27.75" customHeight="1">
      <c r="A37" s="15" t="n"/>
      <c r="B37" s="4" t="inlineStr">
        <is>
          <t>Interest rate</t>
        </is>
      </c>
      <c r="C37" s="21" t="inlineStr">
        <is>
          <t>Monthly Deal Numbers!B7</t>
        </is>
      </c>
      <c r="D37" s="6" t="inlineStr">
        <is>
          <t>Enter your own number for this property</t>
        </is>
      </c>
    </row>
    <row r="38" ht="27.75" customHeight="1">
      <c r="A38" s="15" t="n"/>
      <c r="B38" s="4" t="inlineStr">
        <is>
          <t>Loan length (years)</t>
        </is>
      </c>
      <c r="C38" s="21" t="inlineStr">
        <is>
          <t>Monthly Deal Numbers!B8</t>
        </is>
      </c>
      <c r="D38" s="6" t="inlineStr">
        <is>
          <t>Enter your own number for this property</t>
        </is>
      </c>
    </row>
    <row r="39" ht="27.75" customHeight="1">
      <c r="A39" s="15" t="n"/>
      <c r="B39" s="4" t="inlineStr">
        <is>
          <t>Loan amount</t>
        </is>
      </c>
      <c r="C39" s="21" t="inlineStr">
        <is>
          <t>Monthly Deal Numbers!B9</t>
        </is>
      </c>
      <c r="D39" s="6" t="inlineStr">
        <is>
          <t>Enter your actual loan balance, including any rolled-in funding fee</t>
        </is>
      </c>
    </row>
    <row r="40" ht="27.75" customHeight="1">
      <c r="A40" s="15" t="n"/>
      <c r="B40" s="4" t="inlineStr">
        <is>
          <t>City tax rate (% of value)</t>
        </is>
      </c>
      <c r="C40" s="21" t="inlineStr">
        <is>
          <t>Monthly Deal Numbers!B14</t>
        </is>
      </c>
      <c r="D40" s="6" t="inlineStr">
        <is>
          <t>Richardson city rate, per Dallas County's official 2025 combined tax rate schedule</t>
        </is>
      </c>
    </row>
    <row r="41" ht="27.75" customHeight="1">
      <c r="A41" s="15" t="n"/>
      <c r="B41" s="4" t="inlineStr">
        <is>
          <t>School district (ISD) tax rate (% of value)</t>
        </is>
      </c>
      <c r="C41" s="21" t="inlineStr">
        <is>
          <t>Monthly Deal Numbers!B15</t>
        </is>
      </c>
      <c r="D41" s="6" t="inlineStr">
        <is>
          <t>Richardson ISD rate - this is the portion the homestead exemption applies to</t>
        </is>
      </c>
    </row>
    <row r="42" ht="27.75" customHeight="1">
      <c r="A42" s="15" t="n"/>
      <c r="B42" s="4" t="inlineStr">
        <is>
          <t>County tax rate (% of value)</t>
        </is>
      </c>
      <c r="C42" s="21" t="inlineStr">
        <is>
          <t>Monthly Deal Numbers!B16</t>
        </is>
      </c>
      <c r="D42" s="6" t="inlineStr">
        <is>
          <t>Dallas County rate</t>
        </is>
      </c>
    </row>
    <row r="43" ht="27.75" customHeight="1">
      <c r="A43" s="15" t="n"/>
      <c r="B43" s="4" t="inlineStr">
        <is>
          <t>Vacancy allowance</t>
        </is>
      </c>
      <c r="C43" s="21" t="inlineStr">
        <is>
          <t>Monthly Deal Numbers!B33</t>
        </is>
      </c>
      <c r="D43" s="6" t="inlineStr">
        <is>
          <t>Set aside 5% of rent for months it might sit empty</t>
        </is>
      </c>
    </row>
    <row r="44" ht="27.75" customHeight="1">
      <c r="A44" s="15" t="n"/>
      <c r="B44" s="4" t="inlineStr">
        <is>
          <t>Running costs (repairs, management, etc.)</t>
        </is>
      </c>
      <c r="C44" s="21" t="inlineStr">
        <is>
          <t>Monthly Deal Numbers!B35</t>
        </is>
      </c>
      <c r="D44" s="6" t="inlineStr">
        <is>
          <t>5% reserve for maintenance + property management</t>
        </is>
      </c>
    </row>
  </sheetData>
  <mergeCells count="6">
    <mergeCell ref="A1:D1"/>
    <mergeCell ref="A5:D5"/>
    <mergeCell ref="A35:D35"/>
    <mergeCell ref="A20:D20"/>
    <mergeCell ref="A2:D2"/>
    <mergeCell ref="A28:D28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 outlineLevelRow="0"/>
  <sheetData>
    <row r="1">
      <c r="A1" s="22" t="inlineStr">
        <is>
          <t>Monthly Deal Numbers</t>
        </is>
      </c>
    </row>
    <row r="2">
      <c r="A2" s="23" t="inlineStr">
        <is>
          <t>Will this property actually make money? Price/rent/insurance/HOA pull from Property Snapshot</t>
        </is>
      </c>
    </row>
    <row r="4">
      <c r="A4" s="24" t="inlineStr">
        <is>
          <t>The Loan</t>
        </is>
      </c>
    </row>
    <row r="5">
      <c r="A5" s="25" t="inlineStr">
        <is>
          <t>Price</t>
        </is>
      </c>
      <c r="B5" s="26">
        <f>'Property Snapshot'!B14</f>
        <v/>
      </c>
    </row>
    <row r="6">
      <c r="A6" s="25" t="inlineStr">
        <is>
          <t>Down payment</t>
        </is>
      </c>
      <c r="B6" s="27" t="n">
        <v>0</v>
      </c>
    </row>
    <row r="7">
      <c r="A7" s="25" t="inlineStr">
        <is>
          <t>Interest rate</t>
        </is>
      </c>
      <c r="B7" s="28" t="n">
        <v>0.065</v>
      </c>
    </row>
    <row r="8">
      <c r="A8" s="25" t="inlineStr">
        <is>
          <t>Loan length (years)</t>
        </is>
      </c>
      <c r="B8" s="29" t="n">
        <v>30</v>
      </c>
    </row>
    <row r="9">
      <c r="A9" s="25" t="inlineStr">
        <is>
          <t>Loan amount</t>
        </is>
      </c>
      <c r="B9" s="27" t="n">
        <v>0</v>
      </c>
      <c r="C9" s="23" t="inlineStr">
        <is>
          <t>Enter your actual loan balance, including any rolled-in funding fee</t>
        </is>
      </c>
    </row>
    <row r="10">
      <c r="A10" s="25" t="inlineStr">
        <is>
          <t>Monthly loan payment (principal + interest)</t>
        </is>
      </c>
      <c r="B10" s="26">
        <f>-PMT(B7/12,B8*12,B9)</f>
        <v/>
      </c>
    </row>
    <row r="12">
      <c r="A12" s="24" t="inlineStr">
        <is>
          <t>Estimated Property Tax - No Detailed Model Mapped for This State Yet</t>
        </is>
      </c>
    </row>
    <row r="13">
      <c r="A13" s="25" t="inlineStr">
        <is>
          <t>Fair market value / purchase price</t>
        </is>
      </c>
      <c r="B13" s="26">
        <f>B5</f>
        <v/>
      </c>
    </row>
    <row r="14">
      <c r="A14" s="25" t="inlineStr">
        <is>
          <t>Estimated effective tax rate (UNCONFIRMED)</t>
        </is>
      </c>
      <c r="B14" s="28" t="n">
        <v>0.011</v>
      </c>
      <c r="C14" s="23" t="inlineStr">
        <is>
          <t>Confirm the real rate with the county Assessor/Auditor's office before relying on it</t>
        </is>
      </c>
    </row>
    <row r="15">
      <c r="A15" s="25" t="inlineStr">
        <is>
          <t>Annual property tax (owner-occupied and rental are the same)</t>
        </is>
      </c>
      <c r="B15" s="26">
        <f>B13*B14</f>
        <v/>
      </c>
    </row>
    <row r="17">
      <c r="A17" s="24" t="inlineStr">
        <is>
          <t>The Full Monthly Payment</t>
        </is>
      </c>
    </row>
    <row r="18">
      <c r="A18" s="25" t="inlineStr">
        <is>
          <t>Monthly property tax</t>
        </is>
      </c>
      <c r="B18" s="26">
        <f>B15/12</f>
        <v/>
      </c>
    </row>
    <row r="19">
      <c r="A19" s="25" t="inlineStr">
        <is>
          <t>Monthly insurance</t>
        </is>
      </c>
      <c r="B19" s="26">
        <f>'Property Snapshot'!B16/12</f>
        <v/>
      </c>
    </row>
    <row r="20">
      <c r="A20" s="25" t="inlineStr">
        <is>
          <t>Monthly HOA</t>
        </is>
      </c>
      <c r="B20" s="26">
        <f>'Property Snapshot'!B17</f>
        <v/>
      </c>
    </row>
    <row r="21">
      <c r="A21" s="25" t="inlineStr">
        <is>
          <t>Total monthly payment (PITI)</t>
        </is>
      </c>
      <c r="B21" s="26">
        <f>B10+B18+B19+B20</f>
        <v/>
      </c>
    </row>
    <row r="23">
      <c r="A23" s="24" t="inlineStr">
        <is>
          <t>The Rent</t>
        </is>
      </c>
    </row>
    <row r="24">
      <c r="A24" s="25" t="inlineStr">
        <is>
          <t>Expected monthly rent</t>
        </is>
      </c>
      <c r="B24" s="26">
        <f>'Property Snapshot'!B15</f>
        <v/>
      </c>
    </row>
    <row r="25">
      <c r="A25" s="25" t="inlineStr">
        <is>
          <t>Vacancy allowance</t>
        </is>
      </c>
      <c r="B25" s="30" t="n">
        <v>0.05</v>
      </c>
      <c r="C25" s="23" t="inlineStr">
        <is>
          <t>Set aside 5% of rent for months it might sit empty</t>
        </is>
      </c>
    </row>
    <row r="26">
      <c r="A26" s="25" t="inlineStr">
        <is>
          <t>Rent after vacancy allowance</t>
        </is>
      </c>
      <c r="B26" s="26">
        <f>B24*(1-B25)</f>
        <v/>
      </c>
    </row>
    <row r="27">
      <c r="A27" s="25" t="inlineStr">
        <is>
          <t>Running costs (repairs, management, etc.)</t>
        </is>
      </c>
      <c r="B27" s="30" t="n">
        <v>0.05</v>
      </c>
      <c r="C27" s="23" t="inlineStr">
        <is>
          <t>5% reserve for maintenance + property management</t>
        </is>
      </c>
    </row>
    <row r="28">
      <c r="A28" s="25" t="inlineStr">
        <is>
          <t>Running costs amount</t>
        </is>
      </c>
      <c r="B28" s="26">
        <f>B26*B27</f>
        <v/>
      </c>
    </row>
    <row r="30">
      <c r="A30" s="24" t="inlineStr">
        <is>
          <t>The Bottom Line</t>
        </is>
      </c>
    </row>
    <row r="31">
      <c r="A31" s="25" t="inlineStr">
        <is>
          <t>Money left over each month</t>
        </is>
      </c>
      <c r="B31" s="26">
        <f>B26-B28-B21</f>
        <v/>
      </c>
    </row>
    <row r="32">
      <c r="A32" s="25" t="inlineStr">
        <is>
          <t>Money left over each year</t>
        </is>
      </c>
      <c r="B32" s="26">
        <f>B31*12</f>
        <v/>
      </c>
    </row>
    <row r="33">
      <c r="A33" s="25" t="inlineStr">
        <is>
          <t>Return on rent alone (cap rate)</t>
        </is>
      </c>
      <c r="B33" s="31">
        <f>(B26-B28)*12/B5</f>
        <v/>
      </c>
    </row>
    <row r="34">
      <c r="A34" s="25" t="inlineStr">
        <is>
          <t>Cash you actually put in (down payment + closing costs)</t>
        </is>
      </c>
      <c r="B34" s="26">
        <f>B6+B5*0.03</f>
        <v/>
      </c>
    </row>
    <row r="35">
      <c r="A35" s="25" t="inlineStr">
        <is>
          <t>Return on your cash (cash-on-cash)</t>
        </is>
      </c>
      <c r="B35" s="31">
        <f>IF(B34=0,"$0 down - no cash return to measure",B32/B34)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2026-08-06T12:50:18Z</dcterms:created>
  <dcterms:modified xsi:type="dcterms:W3CDTF">2026-08-26T16:50:48Z</dcterms:modified>
  <cp:lastModifiedBy>Unknown</cp:lastModifiedBy>
</cp:coreProperties>
</file>